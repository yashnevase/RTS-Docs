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c3bfe3b55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4dc4ca289c4e1e"/>
    <x:sheet xmlns:r="http://schemas.openxmlformats.org/officeDocument/2006/relationships" name="Decision Register" sheetId="2" r:id="R9931d070a6674d35"/>
    <x:sheet xmlns:r="http://schemas.openxmlformats.org/officeDocument/2006/relationships" name="System Inventory" sheetId="3" r:id="R06aa01250fc34157"/>
    <x:sheet xmlns:r="http://schemas.openxmlformats.org/officeDocument/2006/relationships" name="Open Questions" sheetId="4" r:id="R6d08a0b6e5f8468b"/>
    <x:sheet xmlns:r="http://schemas.openxmlformats.org/officeDocument/2006/relationships" name="Roadmap" sheetId="5" r:id="R74debc46491a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36271"/>
      <x:name val="Carlito"/>
    </x:font>
    <x:font>
      <x:b/>
      <x:sz val="11"/>
      <x:color rgb="FFFFFFFF"/>
      <x:name val="Carlito"/>
    </x:font>
    <x:font>
      <x:sz val="11"/>
      <x:color rgb="FF152B3C"/>
      <x:name val="Carlito"/>
    </x:font>
    <x:font>
      <x:i/>
      <x:sz val="9"/>
      <x:color rgb="FF53627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B3C"/>
      </x:patternFill>
    </x:fill>
    <x:fill>
      <x:patternFill patternType="solid">
        <x:fgColor rgb="FFEEF4F4"/>
      </x:patternFill>
    </x:fill>
    <x:fill>
      <x:patternFill patternType="solid">
        <x:fgColor rgb="FF1E657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7EAD3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E7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22544482d4278" /><Relationship Type="http://schemas.openxmlformats.org/officeDocument/2006/relationships/theme" Target="/xl/theme/theme1.xml" Id="R0f9d5e63fc7c40c2" /><Relationship Type="http://schemas.openxmlformats.org/officeDocument/2006/relationships/sharedStrings" Target="/xl/sharedStrings.xml" Id="Rbba1834fd4c54753" /><Relationship Type="http://schemas.openxmlformats.org/officeDocument/2006/relationships/worksheet" Target="/xl/worksheets/sheet1.xml" Id="R814dc4ca289c4e1e" /><Relationship Type="http://schemas.openxmlformats.org/officeDocument/2006/relationships/worksheet" Target="/xl/worksheets/sheet2.xml" Id="R9931d070a6674d35" /><Relationship Type="http://schemas.openxmlformats.org/officeDocument/2006/relationships/worksheet" Target="/xl/worksheets/sheet3.xml" Id="R06aa01250fc34157" /><Relationship Type="http://schemas.openxmlformats.org/officeDocument/2006/relationships/worksheet" Target="/xl/worksheets/sheet4.xml" Id="R6d08a0b6e5f8468b" /><Relationship Type="http://schemas.openxmlformats.org/officeDocument/2006/relationships/worksheet" Target="/xl/worksheets/sheet5.xml" Id="R74debc46491a436a" /></Relationships>
</file>

<file path=xl/tables/table1.xml><?xml version="1.0" encoding="utf-8"?>
<x:table xmlns:x="http://schemas.openxmlformats.org/spreadsheetml/2006/main" id="1" name="DecisionRegisterTable" displayName="DecisionRegisterTable" ref="A1:G15" headerRowCount="1" totalsRowCount="0" totalsRowShown="0">
  <x:tableColumns count="7">
    <x:tableColumn id="1" name="ID"/>
    <x:tableColumn id="2" name="Date"/>
    <x:tableColumn id="3" name="Topic"/>
    <x:tableColumn id="4" name="Status"/>
    <x:tableColumn id="5" name="Current record"/>
    <x:tableColumn id="6" name="Next action"/>
    <x:tableColumn id="7" name="Design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InventoryTable" displayName="SystemInventoryTable" ref="A1:G15" headerRowCount="1" totalsRowCount="0" totalsRowShown="0">
  <x:tableColumns count="7">
    <x:tableColumn id="1" name="ID"/>
    <x:tableColumn id="2" name="System"/>
    <x:tableColumn id="3" name="Current vision"/>
    <x:tableColumn id="4" name="Status"/>
    <x:tableColumn id="5" name="Dependencies"/>
    <x:tableColumn id="6" name="Main risk/question"/>
    <x:tableColumn id="7" name="Design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QuestionsTable" displayName="OpenQuestionsTable" ref="A1:E25" headerRowCount="1" totalsRowCount="0" totalsRowShown="0">
  <x:tableColumns count="5">
    <x:tableColumn id="1" name="ID"/>
    <x:tableColumn id="2" name="Area"/>
    <x:tableColumn id="3" name="Question"/>
    <x:tableColumn id="4" name="Status"/>
    <x:tableColumn id="5" name="Design 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admapTable" displayName="RoadmapTable" ref="A1:E6" headerRowCount="1" totalsRowCount="0" totalsRowShown="0">
  <x:tableColumns count="5">
    <x:tableColumn id="1" name="Stage"/>
    <x:tableColumn id="2" name="Milestone"/>
    <x:tableColumn id="3" name="Scope sketch"/>
    <x:tableColumn id="4" name="Status"/>
    <x:tableColumn id="5" name="Exit crite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b971726816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d4d4bd62c346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0ae4437eb94f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a63a6e75a04c5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DECCAN LORDS | GAME BIBLE TRACKER</x:v>
      </x:c>
      <x:c r="B1" s="4"/>
      <x:c r="C1" s="4"/>
      <x:c r="D1" s="4"/>
      <x:c r="E1" s="4"/>
      <x:c r="F1" s="4"/>
    </x:row>
    <x:row r="2">
      <x:c r="A2" s="9" t="str">
        <x:v>Version 0.1 • 15 Oct 2026 • Working tracker, not a final game spec</x:v>
      </x:c>
      <x:c r="B2" s="9"/>
      <x:c r="C2" s="9"/>
      <x:c r="D2" s="9"/>
      <x:c r="E2" s="9"/>
      <x:c r="F2" s="9"/>
    </x:row>
    <x:row r="4">
      <x:c r="A4" s="13" t="str">
        <x:v>Status</x:v>
      </x:c>
      <x:c r="B4" s="13" t="str">
        <x:v>Count</x:v>
      </x:c>
    </x:row>
    <x:row r="5">
      <x:c r="A5" t="str">
        <x:v>LOCKED</x:v>
      </x:c>
      <x:c r="B5" t="n">
        <x:f>COUNTIF('Decision Register'!$D$2:$D$100,"LOCKED")</x:f>
        <x:v>0</x:v>
      </x:c>
    </x:row>
    <x:row r="6">
      <x:c r="A6" t="str">
        <x:v>PROPOSED</x:v>
      </x:c>
      <x:c r="B6" t="n">
        <x:f>COUNTIF('Decision Register'!$D$2:$D$100,"PROPOSED")</x:f>
        <x:v>8</x:v>
      </x:c>
    </x:row>
    <x:row r="7">
      <x:c r="A7" t="str">
        <x:v>OPEN</x:v>
      </x:c>
      <x:c r="B7" t="n">
        <x:f>COUNTIF('Decision Register'!$D$2:$D$100,"OPEN")</x:f>
        <x:v>4</x:v>
      </x:c>
    </x:row>
    <x:row r="8">
      <x:c r="A8" t="str">
        <x:v>DEFERRED</x:v>
      </x:c>
      <x:c r="B8" t="n">
        <x:f>COUNTIF('Decision Register'!$D$2:$D$100,"DEFERRED")</x:f>
        <x:v>1</x:v>
      </x:c>
    </x:row>
    <x:row r="9">
      <x:c r="A9" t="str">
        <x:v>REJECTED</x:v>
      </x:c>
      <x:c r="B9" t="n">
        <x:f>COUNTIF('Decision Register'!$D$2:$D$100,"REJECTED")</x:f>
        <x:v>0</x:v>
      </x:c>
    </x:row>
    <x:row r="10">
      <x:c r="A10" t="str">
        <x:v>RESEARCH</x:v>
      </x:c>
      <x:c r="B10" t="n">
        <x:f>COUNTIF('Decision Register'!$D$2:$D$100,"RESEARCH")</x:f>
        <x:v>1</x:v>
      </x:c>
    </x:row>
    <x:row r="12">
      <x:c r="A12" s="13" t="str">
        <x:v>Working direction</x:v>
      </x:c>
      <x:c r="B12" s="13"/>
      <x:c r="C12" s="13"/>
      <x:c r="D12" s="13"/>
      <x:c r="E12" s="13"/>
      <x:c r="F12" s="13"/>
    </x:row>
    <x:row r="13">
      <x:c r="A13" s="18" t="str">
        <x:v>PROPOSED: Godot 4.x stable for the main PC game; retain the Three.js prototype as a reference and selectively reuse logic. Do not build the full campaign in React first. Validate the target feel with one vertical slice before making a large migration.</x:v>
      </x:c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7">
      <x:c r="A17" s="23" t="str">
        <x:v>Canonical editable source: README.md and linked Markdown files in the companion ZIP. Record approved changes in the Decision Log.</x:v>
      </x:c>
      <x:c r="B17" s="23"/>
      <x:c r="C17" s="23"/>
      <x:c r="D17" s="23"/>
      <x:c r="E17" s="23"/>
      <x:c r="F17" s="23"/>
    </x:row>
  </x:sheetData>
  <x:mergeCells>
    <x:mergeCell ref="A1:F1"/>
    <x:mergeCell ref="A2:F2"/>
    <x:mergeCell ref="A12:F12"/>
    <x:mergeCell ref="A13:F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3" hidden="0" customWidth="1"/>
    <x:col min="4" max="4" width="14" hidden="0" customWidth="1"/>
    <x:col min="5" max="5" width="58" hidden="0" customWidth="1"/>
    <x:col min="6" max="6" width="48" hidden="0" customWidth="1"/>
    <x:col min="7" max="7" width="40" hidden="0" customWidth="1"/>
  </x:cols>
  <x:sheetData>
    <x:row r="1" ht="30" customHeight="1">
      <x:c r="A1" s="28" t="str">
        <x:v>ID</x:v>
      </x:c>
      <x:c r="B1" s="28" t="str">
        <x:v>Date</x:v>
      </x:c>
      <x:c r="C1" s="28" t="str">
        <x:v>Topic</x:v>
      </x:c>
      <x:c r="D1" s="28" t="str">
        <x:v>Status</x:v>
      </x:c>
      <x:c r="E1" s="28" t="str">
        <x:v>Current record</x:v>
      </x:c>
      <x:c r="F1" s="28" t="str">
        <x:v>Next action</x:v>
      </x:c>
      <x:c r="G1" s="28" t="str">
        <x:v>Design file</x:v>
      </x:c>
    </x:row>
    <x:row r="2" ht="62" customHeight="1">
      <x:c r="A2" s="34" t="str">
        <x:v>D-001</x:v>
      </x:c>
      <x:c r="B2" s="34" t="str">
        <x:v>2026-10-15</x:v>
      </x:c>
      <x:c r="C2" s="34" t="str">
        <x:v>Product goal</x:v>
      </x:c>
      <x:c r="D2" s="34" t="str">
        <x:v>PROPOSED</x:v>
      </x:c>
      <x:c r="E2" s="34" t="str">
        <x:v>Accessible PC strategy sandbox combining RTS action, settlement development, politics and reactive NPC lords</x:v>
      </x:c>
      <x:c r="F2" s="34" t="str">
        <x:v>Refine player journey and audience priorities</x:v>
      </x:c>
      <x:c r="G2" s="34" t="str">
        <x:v>design/00_game_vision.md</x:v>
      </x:c>
    </x:row>
    <x:row r="3" ht="62" customHeight="1">
      <x:c r="A3" s="34" t="str">
        <x:v>D-002</x:v>
      </x:c>
      <x:c r="B3" s="34" t="str">
        <x:v>2026-10-15</x:v>
      </x:c>
      <x:c r="C3" s="34" t="str">
        <x:v>Setting</x:v>
      </x:c>
      <x:c r="D3" s="34" t="str">
        <x:v>OPEN</x:v>
      </x:c>
      <x:c r="E3" s="34" t="str">
        <x:v>17th-century India with Deccan focus; exact start year and launch-map scale unresolved</x:v>
      </x:c>
      <x:c r="F3" s="34" t="str">
        <x:v>Pick year and first playable region after user shares preferred details</x:v>
      </x:c>
      <x:c r="G3" s="34" t="str">
        <x:v>design/02_world_and_historical_scope.md</x:v>
      </x:c>
    </x:row>
    <x:row r="4" ht="62" customHeight="1">
      <x:c r="A4" s="34" t="str">
        <x:v>D-003</x:v>
      </x:c>
      <x:c r="B4" s="34" t="str">
        <x:v>2026-10-15</x:v>
      </x:c>
      <x:c r="C4" s="34" t="str">
        <x:v>Starting story</x:v>
      </x:c>
      <x:c r="D4" s="34" t="str">
        <x:v>PROPOSED</x:v>
      </x:c>
      <x:c r="E4" s="34" t="str">
        <x:v>Young heir to a respected but politically constrained clan inherits modest villages/town/fortifications; Sultan trusts an experienced lord with greater authority</x:v>
      </x:c>
      <x:c r="F4" s="34" t="str">
        <x:v>Define father's fate, starting assets, allies, rivals and first dilemma</x:v>
      </x:c>
      <x:c r="G4" s="34" t="str">
        <x:v>design/01_player_journey_and_opening.md</x:v>
      </x:c>
    </x:row>
    <x:row r="5" ht="62" customHeight="1">
      <x:c r="A5" s="34" t="str">
        <x:v>D-004</x:v>
      </x:c>
      <x:c r="B5" s="34" t="str">
        <x:v>2026-10-15</x:v>
      </x:c>
      <x:c r="C5" s="34" t="str">
        <x:v>Main engine</x:v>
      </x:c>
      <x:c r="D5" s="34" t="str">
        <x:v>PROPOSED</x:v>
      </x:c>
      <x:c r="E5" s="34" t="str">
        <x:v>Godot 4.x stable for the main PC game; preserve Three.js prototype as reference and selectively reuse logic</x:v>
      </x:c>
      <x:c r="F5" s="34" t="str">
        <x:v>Validate with one representative scene before full migration</x:v>
      </x:c>
      <x:c r="G5" s="34" t="str">
        <x:v>design/08_technical_architecture.md</x:v>
      </x:c>
    </x:row>
    <x:row r="6" ht="62" customHeight="1">
      <x:c r="A6" s="34" t="str">
        <x:v>D-005</x:v>
      </x:c>
      <x:c r="B6" s="34" t="str">
        <x:v>2026-10-15</x:v>
      </x:c>
      <x:c r="C6" s="34" t="str">
        <x:v>React/HTML prototype</x:v>
      </x:c>
      <x:c r="D6" s="34" t="str">
        <x:v>PROPOSED</x:v>
      </x:c>
      <x:c r="E6" s="34" t="str">
        <x:v>Do not build the complete campaign in React first; use tiny mockups only when they answer a specific UI question</x:v>
      </x:c>
      <x:c r="F6" s="34" t="str">
        <x:v>Proceed to a Godot vertical slice when key requirements are clearer</x:v>
      </x:c>
      <x:c r="G6" s="34" t="str">
        <x:v>design/10_scope_roadmap.md</x:v>
      </x:c>
    </x:row>
    <x:row r="7" ht="62" customHeight="1">
      <x:c r="A7" s="34" t="str">
        <x:v>D-006</x:v>
      </x:c>
      <x:c r="B7" s="34" t="str">
        <x:v>2026-10-15</x:v>
      </x:c>
      <x:c r="C7" s="34" t="str">
        <x:v>Simulation architecture</x:v>
      </x:c>
      <x:c r="D7" s="34" t="str">
        <x:v>PROPOSED</x:v>
      </x:c>
      <x:c r="E7" s="34" t="str">
        <x:v>Separate simulation from rendering; controlled update cadence; state-changing commands explicit</x:v>
      </x:c>
      <x:c r="F7" s="34" t="str">
        <x:v>Define state/time model later</x:v>
      </x:c>
      <x:c r="G7" s="34" t="str">
        <x:v>design/08_technical_architecture.md</x:v>
      </x:c>
    </x:row>
    <x:row r="8" ht="62" customHeight="1">
      <x:c r="A8" s="34" t="str">
        <x:v>D-007</x:v>
      </x:c>
      <x:c r="B8" s="34" t="str">
        <x:v>2026-10-15</x:v>
      </x:c>
      <x:c r="C8" s="34" t="str">
        <x:v>NPC AI</x:v>
      </x:c>
      <x:c r="D8" s="34" t="str">
        <x:v>PROPOSED</x:v>
      </x:c>
      <x:c r="E8" s="34" t="str">
        <x:v>Start with explainable utility scoring, planning, tactical behavior and bounded randomness; evaluate ML only for measured benefit</x:v>
      </x:c>
      <x:c r="F8" s="34" t="str">
        <x:v>Design a sample lord decision model after the main loop is described</x:v>
      </x:c>
      <x:c r="G8" s="34" t="str">
        <x:v>design/05_politics_factions_npc_ai.md</x:v>
      </x:c>
    </x:row>
    <x:row r="9" ht="62" customHeight="1">
      <x:c r="A9" s="34" t="str">
        <x:v>D-008</x:v>
      </x:c>
      <x:c r="B9" s="34" t="str">
        <x:v>2026-10-15</x:v>
      </x:c>
      <x:c r="C9" s="34" t="str">
        <x:v>Population model</x:v>
      </x:c>
      <x:c r="D9" s="34" t="str">
        <x:v>PROPOSED</x:v>
      </x:c>
      <x:c r="E9" s="34" t="str">
        <x:v>Inhabited settlements; household/housing growth, labor roles, demand, tax and security affect prosperity and loyalty</x:v>
      </x:c>
      <x:c r="F9" s="34" t="str">
        <x:v>Choose family versus individual/workforce abstraction and define growth rules</x:v>
      </x:c>
      <x:c r="G9" s="34" t="str">
        <x:v>design/03_settlements_population_economy.md</x:v>
      </x:c>
    </x:row>
    <x:row r="10" ht="62" customHeight="1">
      <x:c r="A10" s="34" t="str">
        <x:v>D-009</x:v>
      </x:c>
      <x:c r="B10" s="34" t="str">
        <x:v>2026-10-15</x:v>
      </x:c>
      <x:c r="C10" s="34" t="str">
        <x:v>Supply convoys</x:v>
      </x:c>
      <x:c r="D10" s="34" t="str">
        <x:v>PROPOSED</x:v>
      </x:c>
      <x:c r="E10" s="34" t="str">
        <x:v>Separate supply convoy may move slower than army and can be escorted, raided or intercepted</x:v>
      </x:c>
      <x:c r="F10" s="34" t="str">
        <x:v>Test whether it is engaging without excessive micromanagement</x:v>
      </x:c>
      <x:c r="G10" s="34" t="str">
        <x:v>design/04_military_logistics_sieges.md</x:v>
      </x:c>
    </x:row>
    <x:row r="11" ht="62" customHeight="1">
      <x:c r="A11" s="34" t="str">
        <x:v>D-010</x:v>
      </x:c>
      <x:c r="B11" s="34" t="str">
        <x:v>2026-10-15</x:v>
      </x:c>
      <x:c r="C11" s="34" t="str">
        <x:v>Multiplayer</x:v>
      </x:c>
      <x:c r="D11" s="34" t="str">
        <x:v>DEFERRED</x:v>
      </x:c>
      <x:c r="E11" s="34" t="str">
        <x:v>Long-term vision: session players inhabit lord roles, negotiate, vote, form alliances and fight; not first implementation target</x:v>
      </x:c>
      <x:c r="F11" s="34" t="str">
        <x:v>Revisit after the single-player campaign loop is proven</x:v>
      </x:c>
      <x:c r="G11" s="34" t="str">
        <x:v>design/09_multiplayer_future.md</x:v>
      </x:c>
    </x:row>
    <x:row r="12" ht="62" customHeight="1">
      <x:c r="A12" s="34" t="str">
        <x:v>D-011</x:v>
      </x:c>
      <x:c r="B12" s="34" t="str">
        <x:v>2026-10-15</x:v>
      </x:c>
      <x:c r="C12" s="34" t="str">
        <x:v>Geographic scale</x:v>
      </x:c>
      <x:c r="D12" s="34" t="str">
        <x:v>OPEN</x:v>
      </x:c>
      <x:c r="E12" s="34" t="str">
        <x:v>Long-range vision extends from Delhi toward Kanyakumari; launch content and detail per settlement are undecided</x:v>
      </x:c>
      <x:c r="F12" s="34" t="str">
        <x:v>Compare India-wide abstraction with a focused initial region</x:v>
      </x:c>
      <x:c r="G12" s="34" t="str">
        <x:v>design/02_world_and_historical_scope.md</x:v>
      </x:c>
    </x:row>
    <x:row r="13" ht="62" customHeight="1">
      <x:c r="A13" s="34" t="str">
        <x:v>D-012</x:v>
      </x:c>
      <x:c r="B13" s="34" t="str">
        <x:v>2026-10-15</x:v>
      </x:c>
      <x:c r="C13" s="34" t="str">
        <x:v>Art direction</x:v>
      </x:c>
      <x:c r="D13" s="34" t="str">
        <x:v>OPEN</x:v>
      </x:c>
      <x:c r="E13" s="34" t="str">
        <x:v>Target is polished stylized 3D with atmospheric audio, smooth animation and readable battles; existing screenshot is a reference</x:v>
      </x:c>
      <x:c r="F13" s="34" t="str">
        <x:v>Build a Godot art/animation benchmark scene</x:v>
      </x:c>
      <x:c r="G13" s="34" t="str">
        <x:v>design/07_ui_ux_art_audio.md</x:v>
      </x:c>
    </x:row>
    <x:row r="14" ht="62" customHeight="1">
      <x:c r="A14" s="34" t="str">
        <x:v>D-013</x:v>
      </x:c>
      <x:c r="B14" s="34" t="str">
        <x:v>2026-10-15</x:v>
      </x:c>
      <x:c r="C14" s="34" t="str">
        <x:v>Player progression</x:v>
      </x:c>
      <x:c r="D14" s="34" t="str">
        <x:v>OPEN</x:v>
      </x:c>
      <x:c r="E14" s="34" t="str">
        <x:v>Possible paths include vassal, general, merchant power, mercenary, outlaw, independent king or emperor</x:v>
      </x:c>
      <x:c r="F14" s="34" t="str">
        <x:v>Define which paths are distinct and what belongs in first release</x:v>
      </x:c>
      <x:c r="G14" s="34" t="str">
        <x:v>design/01_player_journey_and_opening.md</x:v>
      </x:c>
    </x:row>
    <x:row r="15" ht="62" customHeight="1">
      <x:c r="A15" s="34" t="str">
        <x:v>D-014</x:v>
      </x:c>
      <x:c r="B15" s="34" t="str">
        <x:v>2026-10-15</x:v>
      </x:c>
      <x:c r="C15" s="34" t="str">
        <x:v>Historical roster</x:v>
      </x:c>
      <x:c r="D15" s="34" t="str">
        <x:v>RESEARCH</x:v>
      </x:c>
      <x:c r="E15" s="34" t="str">
        <x:v>Potential factions include Deccan sultanates, Mughal power, local clans, Siddis and European/trading powers; exact roles depend on date and geography</x:v>
      </x:c>
      <x:c r="F15" s="34" t="str">
        <x:v>Create a dated research ledger with credible sources</x:v>
      </x:c>
      <x:c r="G15" s="34" t="str">
        <x:v>design/02_world_and_historical_scope.md</x:v>
      </x:c>
    </x:row>
  </x:sheetData>
  <x:conditionalFormatting sqref="D2:D15">
    <x:cfRule type="expression" dxfId="0" priority="1">
      <x:formula>D2="LOCKED"</x:formula>
    </x:cfRule>
    <x:cfRule type="expression" dxfId="1" priority="2">
      <x:formula>D2="OPEN"</x:formula>
    </x:cfRule>
    <x:cfRule type="expression" dxfId="2" priority="3">
      <x:formula>D2="DEFERRED"</x:formula>
    </x:cfRule>
  </x:conditionalFormatting>
  <x:dataValidations count="1">
    <x:dataValidation type="list" sqref="D2:D15">
      <x:formula1>"LOCKED,PROPOSED,OPEN,DEFERRED,REJECTED,RESEARCH"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971726816440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14" hidden="0" customWidth="1"/>
    <x:col min="5" max="5" width="39" hidden="0" customWidth="1"/>
    <x:col min="6" max="6" width="50" hidden="0" customWidth="1"/>
    <x:col min="7" max="7" width="42" hidden="0" customWidth="1"/>
  </x:cols>
  <x:sheetData>
    <x:row r="1" ht="30" customHeight="1">
      <x:c r="A1" s="28" t="str">
        <x:v>ID</x:v>
      </x:c>
      <x:c r="B1" s="28" t="str">
        <x:v>System</x:v>
      </x:c>
      <x:c r="C1" s="28" t="str">
        <x:v>Current vision</x:v>
      </x:c>
      <x:c r="D1" s="28" t="str">
        <x:v>Status</x:v>
      </x:c>
      <x:c r="E1" s="28" t="str">
        <x:v>Dependencies</x:v>
      </x:c>
      <x:c r="F1" s="28" t="str">
        <x:v>Main risk/question</x:v>
      </x:c>
      <x:c r="G1" s="28" t="str">
        <x:v>Design file</x:v>
      </x:c>
    </x:row>
    <x:row r="2" ht="58" customHeight="1">
      <x:c r="A2" s="34" t="str">
        <x:v>SYS-01</x:v>
      </x:c>
      <x:c r="B2" s="34" t="str">
        <x:v>Strategic world/map</x:v>
      </x:c>
      <x:c r="C2" s="34" t="str">
        <x:v>Overland geography, routes, settlement and lord control</x:v>
      </x:c>
      <x:c r="D2" s="34" t="str">
        <x:v>OPEN</x:v>
      </x:c>
      <x:c r="E2" s="34" t="str">
        <x:v>Settlements, factions, parties, terrain</x:v>
      </x:c>
      <x:c r="F2" s="34" t="str">
        <x:v>India-wide simulation scope could explode content and CPU cost</x:v>
      </x:c>
      <x:c r="G2" s="34" t="str">
        <x:v>design/02_world_and_historical_scope.md</x:v>
      </x:c>
    </x:row>
    <x:row r="3" ht="58" customHeight="1">
      <x:c r="A3" s="34" t="str">
        <x:v>SYS-02</x:v>
      </x:c>
      <x:c r="B3" s="34" t="str">
        <x:v>Settlement/population</x:v>
      </x:c>
      <x:c r="C3" s="34" t="str">
        <x:v>Households, housing tiers, needs, prosperity, labor, migration</x:v>
      </x:c>
      <x:c r="D3" s="34" t="str">
        <x:v>PROPOSED</x:v>
      </x:c>
      <x:c r="E3" s="34" t="str">
        <x:v>Economy, buildings, tax, security</x:v>
      </x:c>
      <x:c r="F3" s="34" t="str">
        <x:v>Too many goods or population units could cause micromanagement</x:v>
      </x:c>
      <x:c r="G3" s="34" t="str">
        <x:v>design/03_settlements_population_economy.md</x:v>
      </x:c>
    </x:row>
    <x:row r="4" ht="58" customHeight="1">
      <x:c r="A4" s="34" t="str">
        <x:v>SYS-03</x:v>
      </x:c>
      <x:c r="B4" s="34" t="str">
        <x:v>Economy/production</x:v>
      </x:c>
      <x:c r="C4" s="34" t="str">
        <x:v>Resources, workers, buildings, storage, trade, revenue</x:v>
      </x:c>
      <x:c r="D4" s="34" t="str">
        <x:v>OPEN</x:v>
      </x:c>
      <x:c r="E4" s="34" t="str">
        <x:v>Population, routes, markets, construction, army supply</x:v>
      </x:c>
      <x:c r="F4" s="34" t="str">
        <x:v>Core resource set not chosen; production must stay legible</x:v>
      </x:c>
      <x:c r="G4" s="34" t="str">
        <x:v>design/03_settlements_population_economy.md</x:v>
      </x:c>
    </x:row>
    <x:row r="5" ht="58" customHeight="1">
      <x:c r="A5" s="34" t="str">
        <x:v>SYS-04</x:v>
      </x:c>
      <x:c r="B5" s="34" t="str">
        <x:v>Military/battles</x:v>
      </x:c>
      <x:c r="C5" s="34" t="str">
        <x:v>Armies, garrisons, formations, morale, casualties, tactical combat</x:v>
      </x:c>
      <x:c r="D5" s="34" t="str">
        <x:v>OPEN</x:v>
      </x:c>
      <x:c r="E5" s="34" t="str">
        <x:v>Map, supply, terrain, forts, AI, save/load</x:v>
      </x:c>
      <x:c r="F5" s="34" t="str">
        <x:v>Battle timing and campaign integration unresolved</x:v>
      </x:c>
      <x:c r="G5" s="34" t="str">
        <x:v>design/04_military_logistics_sieges.md</x:v>
      </x:c>
    </x:row>
    <x:row r="6" ht="58" customHeight="1">
      <x:c r="A6" s="34" t="str">
        <x:v>SYS-05</x:v>
      </x:c>
      <x:c r="B6" s="34" t="str">
        <x:v>Forts/sieges</x:v>
      </x:c>
      <x:c r="C6" s="34" t="str">
        <x:v>Fortification customization, defense, siege and relief</x:v>
      </x:c>
      <x:c r="D6" s="34" t="str">
        <x:v>PROPOSED</x:v>
      </x:c>
      <x:c r="E6" s="34" t="str">
        <x:v>Terrain, supplies, garrison and siege equipment</x:v>
      </x:c>
      <x:c r="F6" s="34" t="str">
        <x:v>Could become a separate deep game; define smallest useful version</x:v>
      </x:c>
      <x:c r="G6" s="34" t="str">
        <x:v>design/04_military_logistics_sieges.md</x:v>
      </x:c>
    </x:row>
    <x:row r="7" ht="58" customHeight="1">
      <x:c r="A7" s="34" t="str">
        <x:v>SYS-06</x:v>
      </x:c>
      <x:c r="B7" s="34" t="str">
        <x:v>Supply/logistics</x:v>
      </x:c>
      <x:c r="C7" s="34" t="str">
        <x:v>Convoys, livestock, food/weapons, escort, raids, interception</x:v>
      </x:c>
      <x:c r="D7" s="34" t="str">
        <x:v>PROPOSED</x:v>
      </x:c>
      <x:c r="E7" s="34" t="str">
        <x:v>Army speed, roads, weather, battles and storage</x:v>
      </x:c>
      <x:c r="F7" s="34" t="str">
        <x:v>Risk of busywork; validate strategic value in the slice</x:v>
      </x:c>
      <x:c r="G7" s="34" t="str">
        <x:v>design/04_military_logistics_sieges.md</x:v>
      </x:c>
    </x:row>
    <x:row r="8" ht="58" customHeight="1">
      <x:c r="A8" s="34" t="str">
        <x:v>SYS-07</x:v>
      </x:c>
      <x:c r="B8" s="34" t="str">
        <x:v>Politics/diplomacy</x:v>
      </x:c>
      <x:c r="C8" s="34" t="str">
        <x:v>Relationships, treaties, vassalage, rebellion, status progression</x:v>
      </x:c>
      <x:c r="D8" s="34" t="str">
        <x:v>OPEN</x:v>
      </x:c>
      <x:c r="E8" s="34" t="str">
        <x:v>NPC goals, resources, wars, reputation and events</x:v>
      </x:c>
      <x:c r="F8" s="34" t="str">
        <x:v>Hierarchy and higher-ruler mechanics unresolved</x:v>
      </x:c>
      <x:c r="G8" s="34" t="str">
        <x:v>design/05_politics_factions_npc_ai.md</x:v>
      </x:c>
    </x:row>
    <x:row r="9" ht="58" customHeight="1">
      <x:c r="A9" s="34" t="str">
        <x:v>SYS-08</x:v>
      </x:c>
      <x:c r="B9" s="34" t="str">
        <x:v>NPC lord AI</x:v>
      </x:c>
      <x:c r="C9" s="34" t="str">
        <x:v>Goals, personality, memory, information and planning</x:v>
      </x:c>
      <x:c r="D9" s="34" t="str">
        <x:v>PROPOSED</x:v>
      </x:c>
      <x:c r="E9" s="34" t="str">
        <x:v>All major gameplay systems</x:v>
      </x:c>
      <x:c r="F9" s="34" t="str">
        <x:v>Needs explainable logs, budgets and bounded uncertainty</x:v>
      </x:c>
      <x:c r="G9" s="34" t="str">
        <x:v>design/05_politics_factions_npc_ai.md</x:v>
      </x:c>
    </x:row>
    <x:row r="10" ht="58" customHeight="1">
      <x:c r="A10" s="34" t="str">
        <x:v>SYS-09</x:v>
      </x:c>
      <x:c r="B10" s="34" t="str">
        <x:v>Companions/delegation</x:v>
      </x:c>
      <x:c r="C10" s="34" t="str">
        <x:v>Companion stats, parties, governors and possible lordships</x:v>
      </x:c>
      <x:c r="D10" s="34" t="str">
        <x:v>OPEN</x:v>
      </x:c>
      <x:c r="E10" s="34" t="str">
        <x:v>Army, faction, politics and progression</x:v>
      </x:c>
      <x:c r="F10" s="34" t="str">
        <x:v>Can multiply complexity; define minimum meaningful role</x:v>
      </x:c>
      <x:c r="G10" s="34" t="str">
        <x:v>design/05_politics_factions_npc_ai.md</x:v>
      </x:c>
    </x:row>
    <x:row r="11" ht="58" customHeight="1">
      <x:c r="A11" s="34" t="str">
        <x:v>SYS-10</x:v>
      </x:c>
      <x:c r="B11" s="34" t="str">
        <x:v>Living world/events</x:v>
      </x:c>
      <x:c r="C11" s="34" t="str">
        <x:v>Periodic world updates, letters, crises and opportunities</x:v>
      </x:c>
      <x:c r="D11" s="34" t="str">
        <x:v>OPEN</x:v>
      </x:c>
      <x:c r="E11" s="34" t="str">
        <x:v>Economy, politics, factions, calendar and AI</x:v>
      </x:c>
      <x:c r="F11" s="34" t="str">
        <x:v>Events must derive from state or create lasting consequences</x:v>
      </x:c>
      <x:c r="G11" s="34" t="str">
        <x:v>design/06_emergent_world_events.md</x:v>
      </x:c>
    </x:row>
    <x:row r="12" ht="58" customHeight="1">
      <x:c r="A12" s="34" t="str">
        <x:v>SYS-11</x:v>
      </x:c>
      <x:c r="B12" s="34" t="str">
        <x:v>UI/accessibility</x:v>
      </x:c>
      <x:c r="C12" s="34" t="str">
        <x:v>Map HUD, panels, tooltips, readable stats and controls</x:v>
      </x:c>
      <x:c r="D12" s="34" t="str">
        <x:v>OPEN</x:v>
      </x:c>
      <x:c r="E12" s="34" t="str">
        <x:v>All gameplay systems</x:v>
      </x:c>
      <x:c r="F12" s="34" t="str">
        <x:v>Progressive disclosure needed for non-expert audience</x:v>
      </x:c>
      <x:c r="G12" s="34" t="str">
        <x:v>design/07_ui_ux_art_audio.md</x:v>
      </x:c>
    </x:row>
    <x:row r="13" ht="58" customHeight="1">
      <x:c r="A13" s="34" t="str">
        <x:v>SYS-12</x:v>
      </x:c>
      <x:c r="B13" s="34" t="str">
        <x:v>Art/animation/audio</x:v>
      </x:c>
      <x:c r="C13" s="34" t="str">
        <x:v>Cohesive environment, unit animations, VFX, SFX and music</x:v>
      </x:c>
      <x:c r="D13" s="34" t="str">
        <x:v>OPEN</x:v>
      </x:c>
      <x:c r="E13" s="34" t="str">
        <x:v>Engine, assets and performance budget</x:v>
      </x:c>
      <x:c r="F13" s="34" t="str">
        <x:v>Asset consistency/licensing and target-PC performance</x:v>
      </x:c>
      <x:c r="G13" s="34" t="str">
        <x:v>design/07_ui_ux_art_audio.md</x:v>
      </x:c>
    </x:row>
    <x:row r="14" ht="58" customHeight="1">
      <x:c r="A14" s="34" t="str">
        <x:v>SYS-13</x:v>
      </x:c>
      <x:c r="B14" s="34" t="str">
        <x:v>Save/load/testing</x:v>
      </x:c>
      <x:c r="C14" s="34" t="str">
        <x:v>Persistent state, schema migrations and reproducible scenarios</x:v>
      </x:c>
      <x:c r="D14" s="34" t="str">
        <x:v>PROPOSED</x:v>
      </x:c>
      <x:c r="E14" s="34" t="str">
        <x:v>Simulation and command model</x:v>
      </x:c>
      <x:c r="F14" s="34" t="str">
        <x:v>Corrupt or partial state can invalidate campaigns</x:v>
      </x:c>
      <x:c r="G14" s="34" t="str">
        <x:v>design/08_technical_architecture.md</x:v>
      </x:c>
    </x:row>
    <x:row r="15" ht="58" customHeight="1">
      <x:c r="A15" s="34" t="str">
        <x:v>SYS-14</x:v>
      </x:c>
      <x:c r="B15" s="34" t="str">
        <x:v>Online multiplayer</x:v>
      </x:c>
      <x:c r="C15" s="34" t="str">
        <x:v>Sessions, shared lords, voting, shared armies and networking</x:v>
      </x:c>
      <x:c r="D15" s="34" t="str">
        <x:v>DEFERRED</x:v>
      </x:c>
      <x:c r="E15" s="34" t="str">
        <x:v>Simulation, commands, persistence and anti-cheat</x:v>
      </x:c>
      <x:c r="F15" s="34" t="str">
        <x:v>Not before proving the single-player loop</x:v>
      </x:c>
      <x:c r="G15" s="34" t="str">
        <x:v>design/09_multiplayer_future.md</x:v>
      </x:c>
    </x:row>
  </x:sheetData>
  <x:dataValidations count="1">
    <x:dataValidation type="list" sqref="D2:D15">
      <x:formula1>"LOCKED,PROPOSED,OPEN,DEFERRED,REJECTED,RESEARCH"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d4d4bd62c3467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78" hidden="0" customWidth="1"/>
    <x:col min="4" max="4" width="14" hidden="0" customWidth="1"/>
    <x:col min="5" max="5" width="42" hidden="0" customWidth="1"/>
  </x:cols>
  <x:sheetData>
    <x:row r="1" ht="30" customHeight="1">
      <x:c r="A1" s="28" t="str">
        <x:v>ID</x:v>
      </x:c>
      <x:c r="B1" s="28" t="str">
        <x:v>Area</x:v>
      </x:c>
      <x:c r="C1" s="28" t="str">
        <x:v>Question</x:v>
      </x:c>
      <x:c r="D1" s="28" t="str">
        <x:v>Status</x:v>
      </x:c>
      <x:c r="E1" s="28" t="str">
        <x:v>Design file</x:v>
      </x:c>
    </x:row>
    <x:row r="2" ht="44" customHeight="1">
      <x:c r="A2" s="34" t="str">
        <x:v>Q-001</x:v>
      </x:c>
      <x:c r="B2" s="34" t="str">
        <x:v>Opening</x:v>
      </x:c>
      <x:c r="C2" s="34" t="str">
        <x:v>What happens to the father: death, retirement, betrayal, reassignment, or selectable backstory?</x:v>
      </x:c>
      <x:c r="D2" s="34" t="str">
        <x:v>OPEN</x:v>
      </x:c>
      <x:c r="E2" s="34" t="str">
        <x:v>design/11_open_questions.md</x:v>
      </x:c>
    </x:row>
    <x:row r="3" ht="44" customHeight="1">
      <x:c r="A3" s="34" t="str">
        <x:v>Q-002</x:v>
      </x:c>
      <x:c r="B3" s="34" t="str">
        <x:v>Opening</x:v>
      </x:c>
      <x:c r="C3" s="34" t="str">
        <x:v>What exact year and starting political situation?</x:v>
      </x:c>
      <x:c r="D3" s="34" t="str">
        <x:v>OPEN</x:v>
      </x:c>
      <x:c r="E3" s="34" t="str">
        <x:v>design/11_open_questions.md</x:v>
      </x:c>
    </x:row>
    <x:row r="4" ht="44" customHeight="1">
      <x:c r="A4" s="34" t="str">
        <x:v>Q-003</x:v>
      </x:c>
      <x:c r="B4" s="34" t="str">
        <x:v>Player identity</x:v>
      </x:c>
      <x:c r="C4" s="34" t="str">
        <x:v>Does the player control a character, clan/faction, or both? Are personal stats in v1?</x:v>
      </x:c>
      <x:c r="D4" s="34" t="str">
        <x:v>OPEN</x:v>
      </x:c>
      <x:c r="E4" s="34" t="str">
        <x:v>design/11_open_questions.md</x:v>
      </x:c>
    </x:row>
    <x:row r="5" ht="44" customHeight="1">
      <x:c r="A5" s="34" t="str">
        <x:v>Q-004</x:v>
      </x:c>
      <x:c r="B5" s="34" t="str">
        <x:v>Starting assets</x:v>
      </x:c>
      <x:c r="C5" s="34" t="str">
        <x:v>Exact villages, town, forts, households, treasury, allies and troops?</x:v>
      </x:c>
      <x:c r="D5" s="34" t="str">
        <x:v>OPEN</x:v>
      </x:c>
      <x:c r="E5" s="34" t="str">
        <x:v>design/11_open_questions.md</x:v>
      </x:c>
    </x:row>
    <x:row r="6" ht="44" customHeight="1">
      <x:c r="A6" s="34" t="str">
        <x:v>Q-005</x:v>
      </x:c>
      <x:c r="B6" s="34" t="str">
        <x:v>World scale</x:v>
      </x:c>
      <x:c r="C6" s="34" t="str">
        <x:v>Is Delhi-to-Kanyakumari coverage a launch requirement or long-term goal?</x:v>
      </x:c>
      <x:c r="D6" s="34" t="str">
        <x:v>OPEN</x:v>
      </x:c>
      <x:c r="E6" s="34" t="str">
        <x:v>design/02_world_and_historical_scope.md</x:v>
      </x:c>
    </x:row>
    <x:row r="7" ht="44" customHeight="1">
      <x:c r="A7" s="34" t="str">
        <x:v>Q-006</x:v>
      </x:c>
      <x:c r="B7" s="34" t="str">
        <x:v>Simulation scale</x:v>
      </x:c>
      <x:c r="C7" s="34" t="str">
        <x:v>Are all settlements fully simulated or abstract until locally relevant?</x:v>
      </x:c>
      <x:c r="D7" s="34" t="str">
        <x:v>OPEN</x:v>
      </x:c>
      <x:c r="E7" s="34" t="str">
        <x:v>design/02_world_and_historical_scope.md</x:v>
      </x:c>
    </x:row>
    <x:row r="8" ht="44" customHeight="1">
      <x:c r="A8" s="34" t="str">
        <x:v>Q-007</x:v>
      </x:c>
      <x:c r="B8" s="34" t="str">
        <x:v>World presentation</x:v>
      </x:c>
      <x:c r="C8" s="34" t="str">
        <x:v>One zoomable world, separate strategic/local/battle scenes, or hybrid?</x:v>
      </x:c>
      <x:c r="D8" s="34" t="str">
        <x:v>OPEN</x:v>
      </x:c>
      <x:c r="E8" s="34" t="str">
        <x:v>design/02_world_and_historical_scope.md</x:v>
      </x:c>
    </x:row>
    <x:row r="9" ht="44" customHeight="1">
      <x:c r="A9" s="34" t="str">
        <x:v>Q-008</x:v>
      </x:c>
      <x:c r="B9" s="34" t="str">
        <x:v>Population</x:v>
      </x:c>
      <x:c r="C9" s="34" t="str">
        <x:v>Individual people, families/households, or workforce points?</x:v>
      </x:c>
      <x:c r="D9" s="34" t="str">
        <x:v>OPEN</x:v>
      </x:c>
      <x:c r="E9" s="34" t="str">
        <x:v>design/03_settlements_population_economy.md</x:v>
      </x:c>
    </x:row>
    <x:row r="10" ht="44" customHeight="1">
      <x:c r="A10" s="34" t="str">
        <x:v>Q-009</x:v>
      </x:c>
      <x:c r="B10" s="34" t="str">
        <x:v>Housing</x:v>
      </x:c>
      <x:c r="C10" s="34" t="str">
        <x:v>What do housing tiers increase and which needs change by tier?</x:v>
      </x:c>
      <x:c r="D10" s="34" t="str">
        <x:v>OPEN</x:v>
      </x:c>
      <x:c r="E10" s="34" t="str">
        <x:v>design/03_settlements_population_economy.md</x:v>
      </x:c>
    </x:row>
    <x:row r="11" ht="44" customHeight="1">
      <x:c r="A11" s="34" t="str">
        <x:v>Q-010</x:v>
      </x:c>
      <x:c r="B11" s="34" t="str">
        <x:v>Economy</x:v>
      </x:c>
      <x:c r="C11" s="34" t="str">
        <x:v>Which goods are core resources, manufactured goods, trade-only goods or abstractions?</x:v>
      </x:c>
      <x:c r="D11" s="34" t="str">
        <x:v>OPEN</x:v>
      </x:c>
      <x:c r="E11" s="34" t="str">
        <x:v>design/03_settlements_population_economy.md</x:v>
      </x:c>
    </x:row>
    <x:row r="12" ht="44" customHeight="1">
      <x:c r="A12" s="34" t="str">
        <x:v>Q-011</x:v>
      </x:c>
      <x:c r="B12" s="34" t="str">
        <x:v>Tax and loyalty</x:v>
      </x:c>
      <x:c r="C12" s="34" t="str">
        <x:v>How do taxes, services, safety, culture/religion and shortages affect loyalty/migration?</x:v>
      </x:c>
      <x:c r="D12" s="34" t="str">
        <x:v>OPEN</x:v>
      </x:c>
      <x:c r="E12" s="34" t="str">
        <x:v>design/03_settlements_population_economy.md</x:v>
      </x:c>
    </x:row>
    <x:row r="13" ht="44" customHeight="1">
      <x:c r="A13" s="34" t="str">
        <x:v>Q-012</x:v>
      </x:c>
      <x:c r="B13" s="34" t="str">
        <x:v>Settlement destruction</x:v>
      </x:c>
      <x:c r="C13" s="34" t="str">
        <x:v>Temporary ruins, permanent destruction, capture intact, rebuild?</x:v>
      </x:c>
      <x:c r="D13" s="34" t="str">
        <x:v>OPEN</x:v>
      </x:c>
      <x:c r="E13" s="34" t="str">
        <x:v>design/03_settlements_population_economy.md</x:v>
      </x:c>
    </x:row>
    <x:row r="14" ht="44" customHeight="1">
      <x:c r="A14" s="34" t="str">
        <x:v>Q-013</x:v>
      </x:c>
      <x:c r="B14" s="34" t="str">
        <x:v>Logistics</x:v>
      </x:c>
      <x:c r="C14" s="34" t="str">
        <x:v>Separate moving convoys, abstract army supply, or both?</x:v>
      </x:c>
      <x:c r="D14" s="34" t="str">
        <x:v>OPEN</x:v>
      </x:c>
      <x:c r="E14" s="34" t="str">
        <x:v>design/04_military_logistics_sieges.md</x:v>
      </x:c>
    </x:row>
    <x:row r="15" ht="44" customHeight="1">
      <x:c r="A15" s="34" t="str">
        <x:v>Q-014</x:v>
      </x:c>
      <x:c r="B15" s="34" t="str">
        <x:v>Combat</x:v>
      </x:c>
      <x:c r="C15" s="34" t="str">
        <x:v>Real-time, pausable real-time, or separate tactical battle?</x:v>
      </x:c>
      <x:c r="D15" s="34" t="str">
        <x:v>OPEN</x:v>
      </x:c>
      <x:c r="E15" s="34" t="str">
        <x:v>design/04_military_logistics_sieges.md</x:v>
      </x:c>
    </x:row>
    <x:row r="16" ht="44" customHeight="1">
      <x:c r="A16" s="34" t="str">
        <x:v>Q-015</x:v>
      </x:c>
      <x:c r="B16" s="34" t="str">
        <x:v>Siege</x:v>
      </x:c>
      <x:c r="C16" s="34" t="str">
        <x:v>How do supplies, artillery, relief, surrender, capture and post-siege outcomes work?</x:v>
      </x:c>
      <x:c r="D16" s="34" t="str">
        <x:v>OPEN</x:v>
      </x:c>
      <x:c r="E16" s="34" t="str">
        <x:v>design/04_military_logistics_sieges.md</x:v>
      </x:c>
    </x:row>
    <x:row r="17" ht="44" customHeight="1">
      <x:c r="A17" s="34" t="str">
        <x:v>Q-016</x:v>
      </x:c>
      <x:c r="B17" s="34" t="str">
        <x:v>Politics</x:v>
      </x:c>
      <x:c r="C17" s="34" t="str">
        <x:v>What ranks exist and what powers/obligations belong to each?</x:v>
      </x:c>
      <x:c r="D17" s="34" t="str">
        <x:v>OPEN</x:v>
      </x:c>
      <x:c r="E17" s="34" t="str">
        <x:v>design/05_politics_factions_npc_ai.md</x:v>
      </x:c>
    </x:row>
    <x:row r="18" ht="44" customHeight="1">
      <x:c r="A18" s="34" t="str">
        <x:v>Q-017</x:v>
      </x:c>
      <x:c r="B18" s="34" t="str">
        <x:v>Rulership</x:v>
      </x:c>
      <x:c r="C18" s="34" t="str">
        <x:v>How does one become/recognize a king or emperor?</x:v>
      </x:c>
      <x:c r="D18" s="34" t="str">
        <x:v>OPEN</x:v>
      </x:c>
      <x:c r="E18" s="34" t="str">
        <x:v>design/05_politics_factions_npc_ai.md</x:v>
      </x:c>
    </x:row>
    <x:row r="19" ht="44" customHeight="1">
      <x:c r="A19" s="34" t="str">
        <x:v>Q-018</x:v>
      </x:c>
      <x:c r="B19" s="34" t="str">
        <x:v>Companions</x:v>
      </x:c>
      <x:c r="C19" s="34" t="str">
        <x:v>Can companions govern territory or become independent lords in the first release?</x:v>
      </x:c>
      <x:c r="D19" s="34" t="str">
        <x:v>OPEN</x:v>
      </x:c>
      <x:c r="E19" s="34" t="str">
        <x:v>design/05_politics_factions_npc_ai.md</x:v>
      </x:c>
    </x:row>
    <x:row r="20" ht="44" customHeight="1">
      <x:c r="A20" s="34" t="str">
        <x:v>Q-019</x:v>
      </x:c>
      <x:c r="B20" s="34" t="str">
        <x:v>NPC AI</x:v>
      </x:c>
      <x:c r="C20" s="34" t="str">
        <x:v>Which NPC decisions should be explained in UI/debug logs?</x:v>
      </x:c>
      <x:c r="D20" s="34" t="str">
        <x:v>OPEN</x:v>
      </x:c>
      <x:c r="E20" s="34" t="str">
        <x:v>design/05_politics_factions_npc_ai.md</x:v>
      </x:c>
    </x:row>
    <x:row r="21" ht="44" customHeight="1">
      <x:c r="A21" s="34" t="str">
        <x:v>Q-020</x:v>
      </x:c>
      <x:c r="B21" s="34" t="str">
        <x:v>Art direction</x:v>
      </x:c>
      <x:c r="C21" s="34" t="str">
        <x:v>Camera freedom; which references matter most and what should not be copied?</x:v>
      </x:c>
      <x:c r="D21" s="34" t="str">
        <x:v>OPEN</x:v>
      </x:c>
      <x:c r="E21" s="34" t="str">
        <x:v>design/07_ui_ux_art_audio.md</x:v>
      </x:c>
    </x:row>
    <x:row r="22" ht="44" customHeight="1">
      <x:c r="A22" s="34" t="str">
        <x:v>Q-021</x:v>
      </x:c>
      <x:c r="B22" s="34" t="str">
        <x:v>History/research</x:v>
      </x:c>
      <x:c r="C22" s="34" t="str">
        <x:v>Which factions and locations fit the selected date/region?</x:v>
      </x:c>
      <x:c r="D22" s="34" t="str">
        <x:v>RESEARCH</x:v>
      </x:c>
      <x:c r="E22" s="34" t="str">
        <x:v>design/02_world_and_historical_scope.md</x:v>
      </x:c>
    </x:row>
    <x:row r="23" ht="44" customHeight="1">
      <x:c r="A23" s="34" t="str">
        <x:v>Q-022</x:v>
      </x:c>
      <x:c r="B23" s="34" t="str">
        <x:v>Tone/rating</x:v>
      </x:c>
      <x:c r="C23" s="34" t="str">
        <x:v>How to depict captivity, slavery, looting, religion and civilian harm?</x:v>
      </x:c>
      <x:c r="D23" s="34" t="str">
        <x:v>OPEN</x:v>
      </x:c>
      <x:c r="E23" s="34" t="str">
        <x:v>design/11_open_questions.md</x:v>
      </x:c>
    </x:row>
    <x:row r="24" ht="44" customHeight="1">
      <x:c r="A24" s="34" t="str">
        <x:v>Q-023</x:v>
      </x:c>
      <x:c r="B24" s="34" t="str">
        <x:v>Competitive play</x:v>
      </x:c>
      <x:c r="C24" s="34" t="str">
        <x:v>Same progression/economy as campaign or separate balanced rules?</x:v>
      </x:c>
      <x:c r="D24" s="34" t="str">
        <x:v>OPEN</x:v>
      </x:c>
      <x:c r="E24" s="34" t="str">
        <x:v>design/09_multiplayer_future.md</x:v>
      </x:c>
    </x:row>
    <x:row r="25" ht="44" customHeight="1">
      <x:c r="A25" s="34" t="str">
        <x:v>Q-024</x:v>
      </x:c>
      <x:c r="B25" s="34" t="str">
        <x:v>Technical</x:v>
      </x:c>
      <x:c r="C25" s="34" t="str">
        <x:v>Minimum PC, frame-rate, army size and entity budgets?</x:v>
      </x:c>
      <x:c r="D25" s="34" t="str">
        <x:v>OPEN</x:v>
      </x:c>
      <x:c r="E25" s="34" t="str">
        <x:v>design/08_technical_architecture.md</x:v>
      </x:c>
    </x:row>
  </x:sheetData>
  <x:dataValidations count="1">
    <x:dataValidation type="list" sqref="D2:D25">
      <x:formula1>"LOCKED,PROPOSED,OPEN,DEFERRED,REJECTED,RESEARCH"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ae4437eb94fa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74" hidden="0" customWidth="1"/>
    <x:col min="4" max="4" width="16" hidden="0" customWidth="1"/>
    <x:col min="5" max="5" width="67" hidden="0" customWidth="1"/>
  </x:cols>
  <x:sheetData>
    <x:row r="1" ht="30" customHeight="1">
      <x:c r="A1" s="28" t="str">
        <x:v>Stage</x:v>
      </x:c>
      <x:c r="B1" s="28" t="str">
        <x:v>Milestone</x:v>
      </x:c>
      <x:c r="C1" s="28" t="str">
        <x:v>Scope sketch</x:v>
      </x:c>
      <x:c r="D1" s="28" t="str">
        <x:v>Status</x:v>
      </x:c>
      <x:c r="E1" s="28" t="str">
        <x:v>Exit criteria</x:v>
      </x:c>
    </x:row>
    <x:row r="2" ht="70" customHeight="1">
      <x:c r="A2" s="34" t="str">
        <x:v>A</x:v>
      </x:c>
      <x:c r="B2" s="34" t="str">
        <x:v>Vision + proof of direction</x:v>
      </x:c>
      <x:c r="C2" s="34" t="str">
        <x:v>Keep bible current; define broad view/time/scale; Godot sample scene with settlement, buildings, animated units, camera/selection, lighting, ambient sound and simple combat</x:v>
      </x:c>
      <x:c r="D2" s="34" t="str">
        <x:v>Not started</x:v>
      </x:c>
      <x:c r="E2" s="34" t="str">
        <x:v>Engine validated; screenshot/build and performance notes recorded</x:v>
      </x:c>
    </x:row>
    <x:row r="3" ht="70" customHeight="1">
      <x:c r="A3" s="34" t="str">
        <x:v>B</x:v>
      </x:c>
      <x:c r="B3" s="34" t="str">
        <x:v>Core vertical slice</x:v>
      </x:c>
      <x:c r="C3" s="34" t="str">
        <x:v>Opening inheritance; one settlement/workforce model; one army and fort; one AI lord/political interaction; one battle changes campaign state; save/load</x:v>
      </x:c>
      <x:c r="D3" s="34" t="str">
        <x:v>Not started</x:v>
      </x:c>
      <x:c r="E3" s="34" t="str">
        <x:v>Player completes a meaningful loop and save/reload without state loss</x:v>
      </x:c>
    </x:row>
    <x:row r="4" ht="70" customHeight="1">
      <x:c r="A4" s="34" t="str">
        <x:v>C</x:v>
      </x:c>
      <x:c r="B4" s="34" t="str">
        <x:v>Integrated campaign prototype</x:v>
      </x:c>
      <x:c r="C4" s="34" t="str">
        <x:v>Strategic routes; small active lord/faction set; economy, recruitment, supplies, relations, events and war consequences</x:v>
      </x:c>
      <x:c r="D4" s="34" t="str">
        <x:v>Not started</x:v>
      </x:c>
      <x:c r="E4" s="34" t="str">
        <x:v>A multi-day scenario offers multiple viable choices</x:v>
      </x:c>
    </x:row>
    <x:row r="5" ht="70" customHeight="1">
      <x:c r="A5" s="34" t="str">
        <x:v>D</x:v>
      </x:c>
      <x:c r="B5" s="34" t="str">
        <x:v>Content + presentation expansion</x:v>
      </x:c>
      <x:c r="C5" s="34" t="str">
        <x:v>Add researched places, units, buildings, events, animation, effects, sound, UI and balance</x:v>
      </x:c>
      <x:c r="D5" s="34" t="str">
        <x:v>Not started</x:v>
      </x:c>
      <x:c r="E5" s="34" t="str">
        <x:v>Content reuses validated systems and passes regression tests</x:v>
      </x:c>
    </x:row>
    <x:row r="6" ht="70" customHeight="1">
      <x:c r="A6" s="34" t="str">
        <x:v>E</x:v>
      </x:c>
      <x:c r="B6" s="34" t="str">
        <x:v>Release hardening</x:v>
      </x:c>
      <x:c r="C6" s="34" t="str">
        <x:v>Performance, save recovery, onboarding, accessibility, export pipeline, licensing and playtests</x:v>
      </x:c>
      <x:c r="D6" s="34" t="str">
        <x:v>Not started</x:v>
      </x:c>
      <x:c r="E6" s="34" t="str">
        <x:v>Release candidate runs on target PCs with known limitations documented</x:v>
      </x:c>
    </x:row>
  </x:sheetData>
  <x:dataValidations count="1">
    <x:dataValidation type="list" sqref="D2:D6">
      <x:formula1>"Not started,In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a63a6e75a04c5e"/>
  </x:tableParts>
</x:worksheet>
</file>